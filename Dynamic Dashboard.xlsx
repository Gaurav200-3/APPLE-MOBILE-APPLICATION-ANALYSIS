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81771CC8-7B27-4A0C-B0E9-C02E0E12D504}" xr6:coauthVersionLast="36" xr6:coauthVersionMax="36" xr10:uidLastSave="{00000000-0000-0000-0000-000000000000}"/>
  <bookViews>
    <workbookView xWindow="0" yWindow="0" windowWidth="20490" windowHeight="7425" activeTab="2" xr2:uid="{E23B0B5F-8539-4048-88DD-B2039508AFF0}"/>
  </bookViews>
  <sheets>
    <sheet name="Data 1" sheetId="1" r:id="rId1"/>
    <sheet name="Data Calculation" sheetId="2" r:id="rId2"/>
    <sheet name="Dynamic Dashboard" sheetId="3" r:id="rId3"/>
  </sheets>
  <externalReferences>
    <externalReference r:id="rId4"/>
    <externalReference r:id="rId5"/>
    <externalReference r:id="rId6"/>
  </externalReferences>
  <definedNames>
    <definedName name="BUDGET_Title">'[1]Monthly Budget Summary'!$B$2</definedName>
    <definedName name="COMPANY_NAME">'[1]Monthly Budget Summary'!$B$1</definedName>
    <definedName name="NativeTimeline_Order_Date">#N/A</definedName>
    <definedName name="Plyear">#REF!</definedName>
    <definedName name="Slicer_Region2">#N/A</definedName>
    <definedName name="valpro">[3]Calculation!$D$3</definedName>
    <definedName name="valregion">[3]Calculation!$D$4</definedName>
    <definedName name="valyear">[3]Calculation!$D$2</definedName>
    <definedName name="vblhelpstatus">[3]Calculation!$I$19</definedName>
  </definedNames>
  <calcPr calcId="191029"/>
  <pivotCaches>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3" l="1"/>
  <c r="L7" i="3"/>
  <c r="G52" i="1"/>
  <c r="I52" i="1"/>
</calcChain>
</file>

<file path=xl/sharedStrings.xml><?xml version="1.0" encoding="utf-8"?>
<sst xmlns="http://schemas.openxmlformats.org/spreadsheetml/2006/main" count="202" uniqueCount="40">
  <si>
    <t>Phones</t>
  </si>
  <si>
    <t>Technology</t>
  </si>
  <si>
    <t>West</t>
  </si>
  <si>
    <t>Chairs</t>
  </si>
  <si>
    <t>Furniture</t>
  </si>
  <si>
    <t>East</t>
  </si>
  <si>
    <t>Paper</t>
  </si>
  <si>
    <t>Office Supplies</t>
  </si>
  <si>
    <t>North</t>
  </si>
  <si>
    <t>Tablets</t>
  </si>
  <si>
    <t>South</t>
  </si>
  <si>
    <t>Sofas</t>
  </si>
  <si>
    <t>Labels</t>
  </si>
  <si>
    <t>Accessories</t>
  </si>
  <si>
    <t>Bookcases</t>
  </si>
  <si>
    <t>Envelopes</t>
  </si>
  <si>
    <t>Laptops</t>
  </si>
  <si>
    <t>Tables</t>
  </si>
  <si>
    <t>Binders</t>
  </si>
  <si>
    <t>Pens</t>
  </si>
  <si>
    <t>Profit</t>
  </si>
  <si>
    <t>Quantity</t>
  </si>
  <si>
    <t>Sales</t>
  </si>
  <si>
    <t>Sub - Category</t>
  </si>
  <si>
    <t>Category</t>
  </si>
  <si>
    <t>Region</t>
  </si>
  <si>
    <t>Year</t>
  </si>
  <si>
    <t>Order Date</t>
  </si>
  <si>
    <t>ID</t>
  </si>
  <si>
    <t>Grand Total</t>
  </si>
  <si>
    <t>Sum of Sales</t>
  </si>
  <si>
    <t>Row Labels</t>
  </si>
  <si>
    <t>Sum of Year</t>
  </si>
  <si>
    <t>Pivot Table - 4</t>
  </si>
  <si>
    <t>Pivot Table - 3</t>
  </si>
  <si>
    <t>Pivot Table - 2</t>
  </si>
  <si>
    <t>Pivot Table - 1</t>
  </si>
  <si>
    <t>gaurav</t>
  </si>
  <si>
    <t>PROFIT</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</si>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</sst>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5" x14ac:knownFonts="1">
    <font>
      <sz val="11"/>
      <color theme="1"/>
      <name val="Calibri"/>
      <family val="2"/>
      <scheme val="minor"/>
    </font>
    <font>
      <sz val="11"/>
      <color rgb="FFFF0000"/>
      <name val="Calibri"/>
      <family val="2"/>
      <scheme val="minor"/>
    </font>
    <font>
      <sz val="11"/>
      <name val="Calibri"/>
      <family val="2"/>
      <scheme val="minor"/>
    </font>
    <font>
      <b/>
      <sz val="14"/>
      <color rgb="FFFF0000"/>
      <name val="Calibri"/>
      <family val="2"/>
      <scheme val="minor"/>
    </font>
    <font>
      <b/>
      <sz val="12"/>
      <color rgb="FFFF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2" tint="-9.9978637043366805E-2"/>
        <bgColor indexed="64"/>
      </patternFill>
    </fill>
  </fills>
  <borders count="11">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14" fontId="0" fillId="2" borderId="5"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0" borderId="0" xfId="0" applyBorder="1"/>
    <xf numFmtId="0" fontId="0" fillId="2" borderId="5" xfId="0" applyFont="1" applyFill="1" applyBorder="1" applyAlignment="1">
      <alignment horizontal="center" vertical="center" wrapText="1"/>
    </xf>
    <xf numFmtId="0" fontId="0" fillId="2" borderId="7" xfId="0" applyFill="1" applyBorder="1" applyAlignment="1">
      <alignment horizontal="center" vertical="center" wrapText="1"/>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3" borderId="10" xfId="0" applyFont="1" applyFill="1" applyBorder="1" applyAlignment="1">
      <alignment horizontal="center"/>
    </xf>
    <xf numFmtId="0" fontId="0" fillId="0" borderId="3" xfId="0" applyBorder="1"/>
    <xf numFmtId="0" fontId="0" fillId="0" borderId="0" xfId="0" applyNumberFormat="1"/>
    <xf numFmtId="0" fontId="0" fillId="0" borderId="0" xfId="0" applyAlignment="1">
      <alignment horizontal="left"/>
    </xf>
    <xf numFmtId="0" fontId="0" fillId="0" borderId="0" xfId="0" pivotButton="1"/>
    <xf numFmtId="0" fontId="1" fillId="3" borderId="0" xfId="0" applyFont="1" applyFill="1" applyAlignment="1">
      <alignment horizontal="center"/>
    </xf>
    <xf numFmtId="0" fontId="0" fillId="0" borderId="0" xfId="0" applyFont="1"/>
    <xf numFmtId="164" fontId="3" fillId="0" borderId="10" xfId="0" applyNumberFormat="1" applyFont="1" applyBorder="1" applyAlignment="1">
      <alignment horizontal="center"/>
    </xf>
    <xf numFmtId="0" fontId="0" fillId="0" borderId="8" xfId="0" applyBorder="1"/>
    <xf numFmtId="0" fontId="0" fillId="4" borderId="1" xfId="0" applyFill="1" applyBorder="1"/>
    <xf numFmtId="164" fontId="4" fillId="0" borderId="10" xfId="0" applyNumberFormat="1" applyFont="1" applyBorder="1" applyAlignment="1">
      <alignment horizontal="center"/>
    </xf>
  </cellXfs>
  <cellStyles count="1">
    <cellStyle name="Normal" xfId="0" builtinId="0"/>
  </cellStyles>
  <dxfs count="24">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numFmt numFmtId="19" formatCode="dd/mm/yyyy"/>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border>
    </dxf>
    <dxf>
      <numFmt numFmtId="19" formatCode="dd/mm/yyyy"/>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indexed="64"/>
        </right>
        <top style="thin">
          <color indexed="64"/>
        </top>
        <bottom/>
        <vertical style="thin">
          <color indexed="64"/>
        </vertical>
      </border>
    </dxf>
    <dxf>
      <border outline="0">
        <top style="thin">
          <color indexed="64"/>
        </top>
      </border>
    </dxf>
    <dxf>
      <border outline="0">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vertical style="thin">
          <color indexed="64"/>
        </vertical>
      </border>
    </dxf>
    <dxf>
      <fill>
        <patternFill patternType="solid">
          <fgColor indexed="64"/>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Year</a:t>
            </a:r>
            <a:endParaRPr lang="en-US"/>
          </a:p>
        </c:rich>
      </c:tx>
      <c:layout>
        <c:manualLayout>
          <c:xMode val="edge"/>
          <c:yMode val="edge"/>
          <c:x val="0.34686667222011203"/>
          <c:y val="7.89708523141228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26312</c:v>
              </c:pt>
              <c:pt idx="1">
                <c:v>24288</c:v>
              </c:pt>
              <c:pt idx="2">
                <c:v>24288</c:v>
              </c:pt>
              <c:pt idx="3">
                <c:v>26312</c:v>
              </c:pt>
            </c:numLit>
          </c:val>
          <c:extLst>
            <c:ext xmlns:c16="http://schemas.microsoft.com/office/drawing/2014/chart" uri="{C3380CC4-5D6E-409C-BE32-E72D297353CC}">
              <c16:uniqueId val="{00000000-D9BA-458F-8812-1D9DB868BB8D}"/>
            </c:ext>
          </c:extLst>
        </c:ser>
        <c:dLbls>
          <c:showLegendKey val="0"/>
          <c:showVal val="0"/>
          <c:showCatName val="0"/>
          <c:showSerName val="0"/>
          <c:showPercent val="0"/>
          <c:showBubbleSize val="0"/>
        </c:dLbls>
        <c:gapWidth val="219"/>
        <c:overlap val="-27"/>
        <c:axId val="2041086672"/>
        <c:axId val="2047654048"/>
      </c:barChart>
      <c:catAx>
        <c:axId val="2041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54048"/>
        <c:crosses val="autoZero"/>
        <c:auto val="1"/>
        <c:lblAlgn val="ctr"/>
        <c:lblOffset val="100"/>
        <c:noMultiLvlLbl val="0"/>
      </c:catAx>
      <c:valAx>
        <c:axId val="204765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8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3"/>
              <c:pt idx="0">
                <c:v>Accessories</c:v>
              </c:pt>
              <c:pt idx="1">
                <c:v>Binders</c:v>
              </c:pt>
              <c:pt idx="2">
                <c:v>Bookcases</c:v>
              </c:pt>
              <c:pt idx="3">
                <c:v>Chairs</c:v>
              </c:pt>
              <c:pt idx="4">
                <c:v>Envelopes</c:v>
              </c:pt>
              <c:pt idx="5">
                <c:v>Labels</c:v>
              </c:pt>
              <c:pt idx="6">
                <c:v>Laptops</c:v>
              </c:pt>
              <c:pt idx="7">
                <c:v>Paper</c:v>
              </c:pt>
              <c:pt idx="8">
                <c:v>Pens</c:v>
              </c:pt>
              <c:pt idx="9">
                <c:v>Phones</c:v>
              </c:pt>
              <c:pt idx="10">
                <c:v>Sofas</c:v>
              </c:pt>
              <c:pt idx="11">
                <c:v>Tables</c:v>
              </c:pt>
              <c:pt idx="12">
                <c:v>Tablets</c:v>
              </c:pt>
            </c:strLit>
          </c:cat>
          <c:val>
            <c:numLit>
              <c:formatCode>General</c:formatCode>
              <c:ptCount val="13"/>
              <c:pt idx="0">
                <c:v>11800</c:v>
              </c:pt>
              <c:pt idx="1">
                <c:v>4700</c:v>
              </c:pt>
              <c:pt idx="2">
                <c:v>30800</c:v>
              </c:pt>
              <c:pt idx="3">
                <c:v>24900</c:v>
              </c:pt>
              <c:pt idx="4">
                <c:v>1820</c:v>
              </c:pt>
              <c:pt idx="5">
                <c:v>2500</c:v>
              </c:pt>
              <c:pt idx="6">
                <c:v>215000</c:v>
              </c:pt>
              <c:pt idx="7">
                <c:v>3650</c:v>
              </c:pt>
              <c:pt idx="8">
                <c:v>1950</c:v>
              </c:pt>
              <c:pt idx="9">
                <c:v>71000</c:v>
              </c:pt>
              <c:pt idx="10">
                <c:v>125000</c:v>
              </c:pt>
              <c:pt idx="11">
                <c:v>40300</c:v>
              </c:pt>
              <c:pt idx="12">
                <c:v>84000</c:v>
              </c:pt>
            </c:numLit>
          </c:val>
          <c:smooth val="0"/>
          <c:extLst>
            <c:ext xmlns:c16="http://schemas.microsoft.com/office/drawing/2014/chart" uri="{C3380CC4-5D6E-409C-BE32-E72D297353CC}">
              <c16:uniqueId val="{00000000-2DE1-4C29-9F26-97D956B7DECD}"/>
            </c:ext>
          </c:extLst>
        </c:ser>
        <c:dLbls>
          <c:showLegendKey val="0"/>
          <c:showVal val="0"/>
          <c:showCatName val="0"/>
          <c:showSerName val="0"/>
          <c:showPercent val="0"/>
          <c:showBubbleSize val="0"/>
        </c:dLbls>
        <c:marker val="1"/>
        <c:smooth val="0"/>
        <c:axId val="69877232"/>
        <c:axId val="2047667776"/>
      </c:lineChart>
      <c:catAx>
        <c:axId val="6987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667776"/>
        <c:crosses val="autoZero"/>
        <c:auto val="1"/>
        <c:lblAlgn val="ctr"/>
        <c:lblOffset val="100"/>
        <c:noMultiLvlLbl val="0"/>
      </c:catAx>
      <c:valAx>
        <c:axId val="204766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4.6239316239316208E-2"/>
          <c:y val="0.15262665031192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244750</c:v>
              </c:pt>
              <c:pt idx="1">
                <c:v>54950</c:v>
              </c:pt>
              <c:pt idx="2">
                <c:v>118670</c:v>
              </c:pt>
              <c:pt idx="3">
                <c:v>199050</c:v>
              </c:pt>
            </c:numLit>
          </c:val>
          <c:extLst>
            <c:ext xmlns:c16="http://schemas.microsoft.com/office/drawing/2014/chart" uri="{C3380CC4-5D6E-409C-BE32-E72D297353CC}">
              <c16:uniqueId val="{00000000-F3C2-466E-9796-3BE762B74880}"/>
            </c:ext>
          </c:extLst>
        </c:ser>
        <c:dLbls>
          <c:showLegendKey val="0"/>
          <c:showVal val="0"/>
          <c:showCatName val="0"/>
          <c:showSerName val="0"/>
          <c:showPercent val="0"/>
          <c:showBubbleSize val="0"/>
        </c:dLbls>
        <c:gapWidth val="182"/>
        <c:axId val="1323480816"/>
        <c:axId val="1401617936"/>
      </c:barChart>
      <c:catAx>
        <c:axId val="132348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617936"/>
        <c:crosses val="autoZero"/>
        <c:auto val="1"/>
        <c:lblAlgn val="ctr"/>
        <c:lblOffset val="100"/>
        <c:noMultiLvlLbl val="0"/>
      </c:catAx>
      <c:valAx>
        <c:axId val="1401617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8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5.3923150910484031E-2"/>
          <c:y val="0.172727152824489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B5-477E-ABFF-2C63F8FA4A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B5-477E-ABFF-2C63F8FA4A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B5-477E-ABFF-2C63F8FA4A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Furniture</c:v>
              </c:pt>
              <c:pt idx="1">
                <c:v>Office Supplies</c:v>
              </c:pt>
              <c:pt idx="2">
                <c:v>Technology</c:v>
              </c:pt>
            </c:strLit>
          </c:cat>
          <c:val>
            <c:numLit>
              <c:formatCode>General</c:formatCode>
              <c:ptCount val="3"/>
              <c:pt idx="0">
                <c:v>221000</c:v>
              </c:pt>
              <c:pt idx="1">
                <c:v>14620</c:v>
              </c:pt>
              <c:pt idx="2">
                <c:v>381800</c:v>
              </c:pt>
            </c:numLit>
          </c:val>
          <c:extLst>
            <c:ext xmlns:c16="http://schemas.microsoft.com/office/drawing/2014/chart" uri="{C3380CC4-5D6E-409C-BE32-E72D297353CC}">
              <c16:uniqueId val="{00000006-88B5-477E-ABFF-2C63F8FA4A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575999</xdr:colOff>
      <xdr:row>1</xdr:row>
      <xdr:rowOff>9922</xdr:rowOff>
    </xdr:from>
    <xdr:ext cx="2493922" cy="1406922"/>
    <mc:AlternateContent xmlns:mc="http://schemas.openxmlformats.org/markup-compatibility/2006">
      <mc:Choice xmlns:tsle="http://schemas.microsoft.com/office/drawing/2012/timeslicer" Requires="tsle">
        <xdr:graphicFrame macro="">
          <xdr:nvGraphicFramePr>
            <xdr:cNvPr id="2" name="Order Date 1">
              <a:extLst>
                <a:ext uri="{FF2B5EF4-FFF2-40B4-BE49-F238E27FC236}">
                  <a16:creationId xmlns:a16="http://schemas.microsoft.com/office/drawing/2014/main" id="{9FB7D323-4A67-456C-842E-1F4C3A6FB88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75999" y="200422"/>
              <a:ext cx="2493922" cy="14069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0</xdr:col>
      <xdr:colOff>458789</xdr:colOff>
      <xdr:row>8</xdr:row>
      <xdr:rowOff>181371</xdr:rowOff>
    </xdr:from>
    <xdr:to>
      <xdr:col>5</xdr:col>
      <xdr:colOff>39689</xdr:colOff>
      <xdr:row>18</xdr:row>
      <xdr:rowOff>9922</xdr:rowOff>
    </xdr:to>
    <xdr:graphicFrame macro="">
      <xdr:nvGraphicFramePr>
        <xdr:cNvPr id="3" name="Chart 2">
          <a:extLst>
            <a:ext uri="{FF2B5EF4-FFF2-40B4-BE49-F238E27FC236}">
              <a16:creationId xmlns:a16="http://schemas.microsoft.com/office/drawing/2014/main" id="{79F8EBB2-77E5-44CC-AF49-32FB1AF99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439340</xdr:colOff>
      <xdr:row>19</xdr:row>
      <xdr:rowOff>2382</xdr:rowOff>
    </xdr:from>
    <xdr:to>
      <xdr:col>10</xdr:col>
      <xdr:colOff>585389</xdr:colOff>
      <xdr:row>28</xdr:row>
      <xdr:rowOff>1</xdr:rowOff>
    </xdr:to>
    <xdr:graphicFrame macro="">
      <xdr:nvGraphicFramePr>
        <xdr:cNvPr id="4" name="Chart 3">
          <a:extLst>
            <a:ext uri="{FF2B5EF4-FFF2-40B4-BE49-F238E27FC236}">
              <a16:creationId xmlns:a16="http://schemas.microsoft.com/office/drawing/2014/main" id="{41115F95-2F6F-4622-AD67-B150E7FF7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285266</xdr:colOff>
      <xdr:row>1</xdr:row>
      <xdr:rowOff>13310</xdr:rowOff>
    </xdr:from>
    <xdr:ext cx="2482937" cy="1451157"/>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B0B6563B-F108-4C79-962C-CBA5E159F3C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3321360" y="203810"/>
              <a:ext cx="2482937" cy="1451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5</xdr:col>
      <xdr:colOff>53182</xdr:colOff>
      <xdr:row>9</xdr:row>
      <xdr:rowOff>9526</xdr:rowOff>
    </xdr:from>
    <xdr:to>
      <xdr:col>9</xdr:col>
      <xdr:colOff>267891</xdr:colOff>
      <xdr:row>18</xdr:row>
      <xdr:rowOff>19843</xdr:rowOff>
    </xdr:to>
    <xdr:graphicFrame macro="">
      <xdr:nvGraphicFramePr>
        <xdr:cNvPr id="6" name="Chart 5">
          <a:extLst>
            <a:ext uri="{FF2B5EF4-FFF2-40B4-BE49-F238E27FC236}">
              <a16:creationId xmlns:a16="http://schemas.microsoft.com/office/drawing/2014/main" id="{5947B0FA-0FCD-4A58-9275-BD8A695E9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253604</xdr:colOff>
      <xdr:row>9</xdr:row>
      <xdr:rowOff>9922</xdr:rowOff>
    </xdr:from>
    <xdr:to>
      <xdr:col>13</xdr:col>
      <xdr:colOff>496095</xdr:colOff>
      <xdr:row>18</xdr:row>
      <xdr:rowOff>19844</xdr:rowOff>
    </xdr:to>
    <xdr:graphicFrame macro="">
      <xdr:nvGraphicFramePr>
        <xdr:cNvPr id="7" name="Chart 6">
          <a:extLst>
            <a:ext uri="{FF2B5EF4-FFF2-40B4-BE49-F238E27FC236}">
              <a16:creationId xmlns:a16="http://schemas.microsoft.com/office/drawing/2014/main" id="{2BF8D529-9C87-486E-BCA7-8CBAC2D15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20company%20budget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414342E2E6ACFE6/GAURAV%20JOSHI%20DASHBOAR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e414342e2e6acfe6/GAURAV%20JOSHI/ADVANCE%20EXCEL%20GAURAV%20JOSH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Budget Summary"/>
      <sheetName val="Income"/>
      <sheetName val="Personnel Expenses"/>
      <sheetName val="Operating Expenses"/>
    </sheetNames>
    <sheetDataSet>
      <sheetData sheetId="0">
        <row r="1">
          <cell r="B1" t="str">
            <v>COMPANY NAME</v>
          </cell>
        </row>
        <row r="2">
          <cell r="B2" t="str">
            <v>MONTHLY BUDGET</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2)"/>
      <sheetName val="HOME LOAN"/>
      <sheetName val="CAR LOAN"/>
      <sheetName val="PERSONAL LOAN"/>
      <sheetName val="EDUCATION LOAN"/>
      <sheetName val="DATA.. "/>
      <sheetName val="CALCULATION  .."/>
      <sheetName val="DASHBOARD.."/>
      <sheetName val="Sheet2"/>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ACTICE"/>
      <sheetName val="Sheet 1"/>
      <sheetName val="Sheet 2"/>
      <sheetName val="Sheet 3"/>
      <sheetName val="Sheet 4"/>
      <sheetName val="Sheet 5"/>
      <sheetName val="Sheet 6"/>
      <sheetName val="Sheet 7"/>
      <sheetName val="Sheet 8"/>
      <sheetName val="Sheet 9"/>
      <sheetName val="Sheet 10"/>
      <sheetName val="Sheet 11"/>
      <sheetName val="Sheet 12"/>
      <sheetName val="Sheet 13"/>
      <sheetName val="Sheet 14"/>
      <sheetName val="Sheet 15"/>
      <sheetName val="Monthly Budget Summary"/>
      <sheetName val="Income"/>
      <sheetName val="Personnel Expenses"/>
      <sheetName val="Operating Expenses"/>
      <sheetName val="Sheet 16"/>
      <sheetName val="Sheet 17"/>
      <sheetName val="Sheet 18"/>
      <sheetName val="Sheet19"/>
      <sheetName val="Sheet 20"/>
      <sheetName val="Data..."/>
      <sheetName val="calcs"/>
      <sheetName val="Scroll Bar"/>
      <sheetName val="Check Box"/>
      <sheetName val="Optin Button"/>
      <sheetName val="Combo Box"/>
      <sheetName val="Data"/>
      <sheetName val="Calculation"/>
      <sheetName val="DASHBOARD "/>
      <sheetName val="Sheet 21"/>
      <sheetName val="Sheet 22"/>
      <sheetName val="Sheet 23"/>
      <sheetName val="Sheet 24"/>
      <sheetName val="Sheet 25"/>
      <sheetName val="Finance 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2">
          <cell r="D2">
            <v>2016</v>
          </cell>
        </row>
        <row r="3">
          <cell r="D3" t="str">
            <v>Biscuits</v>
          </cell>
        </row>
        <row r="4">
          <cell r="D4" t="str">
            <v>All Region</v>
          </cell>
        </row>
        <row r="19">
          <cell r="I19" t="b">
            <v>0</v>
          </cell>
        </row>
      </sheetData>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E414342E2E6ACFE6/GAURAV%20JOSHI/ADVANCE%20EXCEL%20GAURAV%20JOSHI.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43.478268055558" createdVersion="6" refreshedVersion="6" minRefreshableVersion="3" recordCount="50" xr:uid="{DB1A2DA6-B1E2-4ADB-8319-EF79104689E9}">
  <cacheSource type="worksheet">
    <worksheetSource name="Table6" r:id="rId2"/>
  </cacheSource>
  <cacheFields count="9">
    <cacheField name="ID" numFmtId="0">
      <sharedItems containsSemiMixedTypes="0" containsString="0" containsNumber="1" containsInteger="1" minValue="1" maxValue="50"/>
    </cacheField>
    <cacheField name="Order Date" numFmtId="14">
      <sharedItems containsSemiMixedTypes="0" containsNonDate="0" containsDate="1" containsString="0" minDate="2024-01-05T00:00:00" maxDate="2024-05-09T00:00:00" count="50">
        <d v="2024-01-05T00:00:00"/>
        <d v="2024-01-07T00:00:00"/>
        <d v="2024-01-10T00:00:00"/>
        <d v="2024-01-12T00:00:00"/>
        <d v="2024-01-15T00:00:00"/>
        <d v="2024-01-18T00:00:00"/>
        <d v="2024-01-20T00:00:00"/>
        <d v="2024-01-22T00:00:00"/>
        <d v="2024-01-25T00:00:00"/>
        <d v="2024-01-27T00:00:00"/>
        <d v="2024-02-01T00:00:00"/>
        <d v="2024-02-03T00:00:00"/>
        <d v="2024-02-06T00:00:00"/>
        <d v="2024-02-08T00:00:00"/>
        <d v="2024-02-10T00:00:00"/>
        <d v="2024-02-13T00:00:00"/>
        <d v="2024-02-15T00:00:00"/>
        <d v="2024-02-18T00:00:00"/>
        <d v="2024-02-20T00:00:00"/>
        <d v="2024-02-22T00:00:00"/>
        <d v="2024-02-25T00:00:00"/>
        <d v="2024-02-27T00:00:00"/>
        <d v="2024-03-01T00:00:00"/>
        <d v="2024-03-03T00:00:00"/>
        <d v="2024-03-06T00:00:00"/>
        <d v="2024-03-08T00:00:00"/>
        <d v="2024-03-10T00:00:00"/>
        <d v="2024-03-13T00:00:00"/>
        <d v="2024-03-15T00:00:00"/>
        <d v="2024-03-18T00:00:00"/>
        <d v="2024-03-20T00:00:00"/>
        <d v="2024-03-22T00:00:00"/>
        <d v="2024-03-25T00:00:00"/>
        <d v="2024-03-27T00:00:00"/>
        <d v="2024-04-01T00:00:00"/>
        <d v="2024-04-03T00:00:00"/>
        <d v="2024-04-06T00:00:00"/>
        <d v="2024-04-08T00:00:00"/>
        <d v="2024-04-10T00:00:00"/>
        <d v="2024-04-13T00:00:00"/>
        <d v="2024-04-15T00:00:00"/>
        <d v="2024-04-18T00:00:00"/>
        <d v="2024-04-20T00:00:00"/>
        <d v="2024-04-22T00:00:00"/>
        <d v="2024-04-25T00:00:00"/>
        <d v="2024-04-27T00:00:00"/>
        <d v="2024-05-01T00:00:00"/>
        <d v="2024-05-03T00:00:00"/>
        <d v="2024-05-06T00:00:00"/>
        <d v="2024-05-08T00:00:00"/>
      </sharedItems>
    </cacheField>
    <cacheField name="Year" numFmtId="0">
      <sharedItems containsSemiMixedTypes="0" containsString="0" containsNumber="1" containsInteger="1" minValue="2024" maxValue="2024"/>
    </cacheField>
    <cacheField name="Region" numFmtId="0">
      <sharedItems count="4">
        <s v="East"/>
        <s v="West"/>
        <s v="South"/>
        <s v="North"/>
      </sharedItems>
    </cacheField>
    <cacheField name="Category" numFmtId="0">
      <sharedItems count="3">
        <s v="Furniture"/>
        <s v="Technology"/>
        <s v="Office Supplies"/>
      </sharedItems>
    </cacheField>
    <cacheField name="Sub - Category" numFmtId="0">
      <sharedItems count="13">
        <s v="Chairs"/>
        <s v="Phones"/>
        <s v="Paper"/>
        <s v="Tables"/>
        <s v="Laptops"/>
        <s v="Pens"/>
        <s v="Bookcases"/>
        <s v="Accessories"/>
        <s v="Binders"/>
        <s v="Sofas"/>
        <s v="Tablets"/>
        <s v="Envelopes"/>
        <s v="Labels"/>
      </sharedItems>
    </cacheField>
    <cacheField name="Sales" numFmtId="0">
      <sharedItems containsSemiMixedTypes="0" containsString="0" containsNumber="1" containsInteger="1" minValue="500" maxValue="60000"/>
    </cacheField>
    <cacheField name="Quantity" numFmtId="0">
      <sharedItems containsSemiMixedTypes="0" containsString="0" containsNumber="1" containsInteger="1" minValue="1" maxValue="20"/>
    </cacheField>
    <cacheField name="Profit" numFmtId="0">
      <sharedItems containsSemiMixedTypes="0" containsString="0" containsNumber="1" containsInteger="1" minValue="120" maxValue="8500"/>
    </cacheField>
  </cacheFields>
  <extLst>
    <ext xmlns:x14="http://schemas.microsoft.com/office/spreadsheetml/2009/9/main" uri="{725AE2AE-9491-48be-B2B4-4EB974FC3084}">
      <x14:pivotCacheDefinition pivotCacheId="1052420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n v="2024"/>
    <x v="0"/>
    <x v="0"/>
    <x v="0"/>
    <n v="4500"/>
    <n v="5"/>
    <n v="900"/>
  </r>
  <r>
    <n v="2"/>
    <x v="1"/>
    <n v="2024"/>
    <x v="1"/>
    <x v="1"/>
    <x v="1"/>
    <n v="12000"/>
    <n v="3"/>
    <n v="2500"/>
  </r>
  <r>
    <n v="3"/>
    <x v="2"/>
    <n v="2024"/>
    <x v="2"/>
    <x v="2"/>
    <x v="2"/>
    <n v="800"/>
    <n v="10"/>
    <n v="200"/>
  </r>
  <r>
    <n v="4"/>
    <x v="3"/>
    <n v="2024"/>
    <x v="3"/>
    <x v="0"/>
    <x v="3"/>
    <n v="9000"/>
    <n v="2"/>
    <n v="1500"/>
  </r>
  <r>
    <n v="5"/>
    <x v="4"/>
    <n v="2024"/>
    <x v="0"/>
    <x v="1"/>
    <x v="4"/>
    <n v="45000"/>
    <n v="4"/>
    <n v="6000"/>
  </r>
  <r>
    <n v="6"/>
    <x v="5"/>
    <n v="2024"/>
    <x v="1"/>
    <x v="2"/>
    <x v="5"/>
    <n v="600"/>
    <n v="20"/>
    <n v="150"/>
  </r>
  <r>
    <n v="7"/>
    <x v="6"/>
    <n v="2024"/>
    <x v="2"/>
    <x v="0"/>
    <x v="6"/>
    <n v="7000"/>
    <n v="3"/>
    <n v="1200"/>
  </r>
  <r>
    <n v="8"/>
    <x v="7"/>
    <n v="2024"/>
    <x v="3"/>
    <x v="1"/>
    <x v="7"/>
    <n v="2500"/>
    <n v="6"/>
    <n v="500"/>
  </r>
  <r>
    <n v="9"/>
    <x v="8"/>
    <n v="2024"/>
    <x v="0"/>
    <x v="2"/>
    <x v="8"/>
    <n v="1400"/>
    <n v="8"/>
    <n v="300"/>
  </r>
  <r>
    <n v="10"/>
    <x v="9"/>
    <n v="2024"/>
    <x v="1"/>
    <x v="0"/>
    <x v="9"/>
    <n v="30000"/>
    <n v="1"/>
    <n v="4500"/>
  </r>
  <r>
    <n v="11"/>
    <x v="10"/>
    <n v="2024"/>
    <x v="2"/>
    <x v="1"/>
    <x v="10"/>
    <n v="18000"/>
    <n v="3"/>
    <n v="3200"/>
  </r>
  <r>
    <n v="12"/>
    <x v="11"/>
    <n v="2024"/>
    <x v="3"/>
    <x v="2"/>
    <x v="11"/>
    <n v="500"/>
    <n v="15"/>
    <n v="120"/>
  </r>
  <r>
    <n v="13"/>
    <x v="12"/>
    <n v="2024"/>
    <x v="0"/>
    <x v="0"/>
    <x v="0"/>
    <n v="5200"/>
    <n v="6"/>
    <n v="950"/>
  </r>
  <r>
    <n v="14"/>
    <x v="13"/>
    <n v="2024"/>
    <x v="1"/>
    <x v="1"/>
    <x v="1"/>
    <n v="15000"/>
    <n v="4"/>
    <n v="2800"/>
  </r>
  <r>
    <n v="15"/>
    <x v="14"/>
    <n v="2024"/>
    <x v="2"/>
    <x v="2"/>
    <x v="12"/>
    <n v="750"/>
    <n v="12"/>
    <n v="180"/>
  </r>
  <r>
    <n v="16"/>
    <x v="15"/>
    <n v="2024"/>
    <x v="3"/>
    <x v="0"/>
    <x v="3"/>
    <n v="11000"/>
    <n v="3"/>
    <n v="1700"/>
  </r>
  <r>
    <n v="17"/>
    <x v="16"/>
    <n v="2024"/>
    <x v="0"/>
    <x v="1"/>
    <x v="4"/>
    <n v="60000"/>
    <n v="5"/>
    <n v="8500"/>
  </r>
  <r>
    <n v="18"/>
    <x v="17"/>
    <n v="2024"/>
    <x v="1"/>
    <x v="2"/>
    <x v="2"/>
    <n v="900"/>
    <n v="11"/>
    <n v="220"/>
  </r>
  <r>
    <n v="19"/>
    <x v="18"/>
    <n v="2024"/>
    <x v="2"/>
    <x v="0"/>
    <x v="6"/>
    <n v="8200"/>
    <n v="4"/>
    <n v="1400"/>
  </r>
  <r>
    <n v="20"/>
    <x v="19"/>
    <n v="2024"/>
    <x v="3"/>
    <x v="1"/>
    <x v="7"/>
    <n v="3100"/>
    <n v="7"/>
    <n v="650"/>
  </r>
  <r>
    <n v="21"/>
    <x v="20"/>
    <n v="2024"/>
    <x v="0"/>
    <x v="2"/>
    <x v="8"/>
    <n v="1600"/>
    <n v="9"/>
    <n v="350"/>
  </r>
  <r>
    <n v="22"/>
    <x v="21"/>
    <n v="2024"/>
    <x v="1"/>
    <x v="0"/>
    <x v="9"/>
    <n v="28000"/>
    <n v="2"/>
    <n v="4200"/>
  </r>
  <r>
    <n v="23"/>
    <x v="22"/>
    <n v="2024"/>
    <x v="2"/>
    <x v="1"/>
    <x v="10"/>
    <n v="20000"/>
    <n v="4"/>
    <n v="3600"/>
  </r>
  <r>
    <n v="24"/>
    <x v="23"/>
    <n v="2024"/>
    <x v="3"/>
    <x v="2"/>
    <x v="5"/>
    <n v="700"/>
    <n v="18"/>
    <n v="170"/>
  </r>
  <r>
    <n v="25"/>
    <x v="24"/>
    <n v="2024"/>
    <x v="0"/>
    <x v="0"/>
    <x v="0"/>
    <n v="4800"/>
    <n v="5"/>
    <n v="880"/>
  </r>
  <r>
    <n v="26"/>
    <x v="25"/>
    <n v="2024"/>
    <x v="1"/>
    <x v="1"/>
    <x v="1"/>
    <n v="13500"/>
    <n v="3"/>
    <n v="2600"/>
  </r>
  <r>
    <n v="27"/>
    <x v="26"/>
    <n v="2024"/>
    <x v="2"/>
    <x v="2"/>
    <x v="11"/>
    <n v="620"/>
    <n v="14"/>
    <n v="140"/>
  </r>
  <r>
    <n v="28"/>
    <x v="27"/>
    <n v="2024"/>
    <x v="3"/>
    <x v="0"/>
    <x v="3"/>
    <n v="9800"/>
    <n v="2"/>
    <n v="1600"/>
  </r>
  <r>
    <n v="29"/>
    <x v="28"/>
    <n v="2024"/>
    <x v="0"/>
    <x v="1"/>
    <x v="4"/>
    <n v="52000"/>
    <n v="4"/>
    <n v="7200"/>
  </r>
  <r>
    <n v="30"/>
    <x v="29"/>
    <n v="2024"/>
    <x v="1"/>
    <x v="2"/>
    <x v="12"/>
    <n v="850"/>
    <n v="13"/>
    <n v="210"/>
  </r>
  <r>
    <n v="31"/>
    <x v="30"/>
    <n v="2024"/>
    <x v="2"/>
    <x v="0"/>
    <x v="6"/>
    <n v="7600"/>
    <n v="3"/>
    <n v="1300"/>
  </r>
  <r>
    <n v="32"/>
    <x v="31"/>
    <n v="2024"/>
    <x v="3"/>
    <x v="1"/>
    <x v="7"/>
    <n v="2900"/>
    <n v="6"/>
    <n v="600"/>
  </r>
  <r>
    <n v="33"/>
    <x v="32"/>
    <n v="2024"/>
    <x v="0"/>
    <x v="2"/>
    <x v="2"/>
    <n v="950"/>
    <n v="12"/>
    <n v="240"/>
  </r>
  <r>
    <n v="34"/>
    <x v="33"/>
    <n v="2024"/>
    <x v="1"/>
    <x v="0"/>
    <x v="9"/>
    <n v="32000"/>
    <n v="2"/>
    <n v="4800"/>
  </r>
  <r>
    <n v="35"/>
    <x v="34"/>
    <n v="2024"/>
    <x v="2"/>
    <x v="1"/>
    <x v="10"/>
    <n v="22000"/>
    <n v="4"/>
    <n v="3900"/>
  </r>
  <r>
    <n v="36"/>
    <x v="35"/>
    <n v="2024"/>
    <x v="3"/>
    <x v="2"/>
    <x v="5"/>
    <n v="650"/>
    <n v="16"/>
    <n v="160"/>
  </r>
  <r>
    <n v="37"/>
    <x v="36"/>
    <n v="2024"/>
    <x v="0"/>
    <x v="0"/>
    <x v="0"/>
    <n v="5100"/>
    <n v="6"/>
    <n v="920"/>
  </r>
  <r>
    <n v="38"/>
    <x v="37"/>
    <n v="2024"/>
    <x v="1"/>
    <x v="1"/>
    <x v="1"/>
    <n v="14500"/>
    <n v="3"/>
    <n v="2700"/>
  </r>
  <r>
    <n v="39"/>
    <x v="38"/>
    <n v="2024"/>
    <x v="2"/>
    <x v="2"/>
    <x v="8"/>
    <n v="1700"/>
    <n v="10"/>
    <n v="380"/>
  </r>
  <r>
    <n v="40"/>
    <x v="39"/>
    <n v="2024"/>
    <x v="3"/>
    <x v="0"/>
    <x v="3"/>
    <n v="10500"/>
    <n v="3"/>
    <n v="1650"/>
  </r>
  <r>
    <n v="41"/>
    <x v="40"/>
    <n v="2024"/>
    <x v="0"/>
    <x v="1"/>
    <x v="4"/>
    <n v="58000"/>
    <n v="5"/>
    <n v="8100"/>
  </r>
  <r>
    <n v="42"/>
    <x v="41"/>
    <n v="2024"/>
    <x v="1"/>
    <x v="2"/>
    <x v="11"/>
    <n v="700"/>
    <n v="15"/>
    <n v="160"/>
  </r>
  <r>
    <n v="43"/>
    <x v="42"/>
    <n v="2024"/>
    <x v="2"/>
    <x v="0"/>
    <x v="6"/>
    <n v="8000"/>
    <n v="4"/>
    <n v="1350"/>
  </r>
  <r>
    <n v="44"/>
    <x v="43"/>
    <n v="2024"/>
    <x v="3"/>
    <x v="1"/>
    <x v="7"/>
    <n v="3300"/>
    <n v="7"/>
    <n v="700"/>
  </r>
  <r>
    <n v="45"/>
    <x v="44"/>
    <n v="2024"/>
    <x v="0"/>
    <x v="2"/>
    <x v="12"/>
    <n v="900"/>
    <n v="14"/>
    <n v="230"/>
  </r>
  <r>
    <n v="46"/>
    <x v="45"/>
    <n v="2024"/>
    <x v="1"/>
    <x v="0"/>
    <x v="9"/>
    <n v="35000"/>
    <n v="2"/>
    <n v="5200"/>
  </r>
  <r>
    <n v="47"/>
    <x v="46"/>
    <n v="2024"/>
    <x v="2"/>
    <x v="1"/>
    <x v="10"/>
    <n v="24000"/>
    <n v="5"/>
    <n v="4200"/>
  </r>
  <r>
    <n v="48"/>
    <x v="47"/>
    <n v="2024"/>
    <x v="3"/>
    <x v="2"/>
    <x v="2"/>
    <n v="1000"/>
    <n v="13"/>
    <n v="260"/>
  </r>
  <r>
    <n v="49"/>
    <x v="48"/>
    <n v="2024"/>
    <x v="0"/>
    <x v="0"/>
    <x v="0"/>
    <n v="5300"/>
    <n v="6"/>
    <n v="970"/>
  </r>
  <r>
    <n v="50"/>
    <x v="49"/>
    <n v="2024"/>
    <x v="1"/>
    <x v="1"/>
    <x v="1"/>
    <n v="16000"/>
    <n v="4"/>
    <n v="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C7D15E-F658-4CCA-9FF6-673D30B0DADD}"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J3:K7"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0"/>
        <item x="3"/>
        <item x="2"/>
        <item x="1"/>
        <item t="default"/>
      </items>
    </pivotField>
    <pivotField axis="axisRow" showAll="0">
      <items count="4">
        <item x="0"/>
        <item x="2"/>
        <item x="1"/>
        <item t="default"/>
      </items>
    </pivotField>
    <pivotField showAll="0"/>
    <pivotField dataField="1" showAll="0"/>
    <pivotField showAll="0"/>
    <pivotField showAll="0"/>
  </pivotFields>
  <rowFields count="1">
    <field x="4"/>
  </rowFields>
  <rowItems count="4">
    <i>
      <x/>
    </i>
    <i>
      <x v="1"/>
    </i>
    <i>
      <x v="2"/>
    </i>
    <i t="grand">
      <x/>
    </i>
  </rowItems>
  <colItems count="1">
    <i/>
  </colItems>
  <dataFields count="1">
    <dataField name="Sum of Sales" fld="6" baseField="0"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82CC8-8C76-4008-A475-02FC3C75574A}"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G3:H8"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5">
        <item x="0"/>
        <item x="3"/>
        <item x="2"/>
        <item x="1"/>
        <item t="default"/>
      </items>
    </pivotField>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Sales"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7F25D9-2D49-4CF4-BD88-81E8BC338790}"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3:E17"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
        <item x="0"/>
        <item x="3"/>
        <item x="2"/>
        <item x="1"/>
        <item t="default"/>
      </items>
    </pivotField>
    <pivotField showAll="0"/>
    <pivotField axis="axisRow" showAll="0">
      <items count="14">
        <item x="7"/>
        <item x="8"/>
        <item x="6"/>
        <item x="0"/>
        <item x="11"/>
        <item x="12"/>
        <item x="4"/>
        <item x="2"/>
        <item x="5"/>
        <item x="1"/>
        <item x="9"/>
        <item x="3"/>
        <item x="10"/>
        <item t="default"/>
      </items>
    </pivotField>
    <pivotField dataField="1" showAll="0"/>
    <pivotField showAll="0"/>
    <pivotField showAll="0"/>
  </pivotFields>
  <rowFields count="1">
    <field x="5"/>
  </rowFields>
  <rowItems count="14">
    <i>
      <x/>
    </i>
    <i>
      <x v="1"/>
    </i>
    <i>
      <x v="2"/>
    </i>
    <i>
      <x v="3"/>
    </i>
    <i>
      <x v="4"/>
    </i>
    <i>
      <x v="5"/>
    </i>
    <i>
      <x v="6"/>
    </i>
    <i>
      <x v="7"/>
    </i>
    <i>
      <x v="8"/>
    </i>
    <i>
      <x v="9"/>
    </i>
    <i>
      <x v="10"/>
    </i>
    <i>
      <x v="11"/>
    </i>
    <i>
      <x v="12"/>
    </i>
    <i t="grand">
      <x/>
    </i>
  </rowItems>
  <colItems count="1">
    <i/>
  </colItems>
  <dataFields count="1">
    <dataField name="Sum of Sales" fld="6"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B64A6E-232B-4D41-A4EB-87EDD3965E99}"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location ref="A3:B8" firstHeaderRow="1" firstDataRow="1" firstDataCol="1"/>
  <pivotFields count="9">
    <pivotField showAll="0"/>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axis="axisRow" showAll="0">
      <items count="5">
        <item x="0"/>
        <item x="3"/>
        <item x="2"/>
        <item x="1"/>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Year" fld="2" baseField="0" baseItem="0"/>
  </dataField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3F96A9A-E99C-4EC2-A568-EE04B3E5AF5D}" sourceName="Region">
  <data>
    <tabular pivotCacheId="1052420703">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A9854E39-8ABB-4E7E-9565-05B614104B91}" cache="Slicer_Region2"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4B2543-E9CD-4EF6-8047-AA1F8EADC5DB}" name="Table6" displayName="Table6" ref="A1:I52" totalsRowCount="1" headerRowDxfId="23" dataDxfId="22" totalsRowDxfId="21" headerRowBorderDxfId="19" tableBorderDxfId="20" totalsRowBorderDxfId="18">
  <autoFilter ref="A1:I51" xr:uid="{4E2423DB-AE9B-4299-94EF-E439620C8A82}"/>
  <tableColumns count="9">
    <tableColumn id="1" xr3:uid="{4162287F-F884-48D8-ADF9-46E8EDADF6DE}" name="ID" dataDxfId="16" totalsRowDxfId="17"/>
    <tableColumn id="2" xr3:uid="{C0A81528-0198-48F1-BDA2-BBE16EC416C5}" name="Order Date" dataDxfId="14" totalsRowDxfId="15"/>
    <tableColumn id="3" xr3:uid="{6DEDC97A-3C06-4983-98E5-20EA83ABD831}" name="Year" dataDxfId="12" totalsRowDxfId="13"/>
    <tableColumn id="4" xr3:uid="{7FE6BEA5-CE89-4030-B90C-E9CACC23DAD1}" name="Region" dataDxfId="10" totalsRowDxfId="11"/>
    <tableColumn id="5" xr3:uid="{4D6B19FF-E966-41D7-B97C-F8CF29460302}" name="Category" dataDxfId="8" totalsRowDxfId="9"/>
    <tableColumn id="6" xr3:uid="{B815191C-86AF-4799-B474-1DCBCAE2F5B2}" name="Sub - Category" dataDxfId="6" totalsRowDxfId="7"/>
    <tableColumn id="7" xr3:uid="{E0FD2579-A1DD-4700-8BF0-2637D131848E}" name="Sales" totalsRowFunction="custom" dataDxfId="4" totalsRowDxfId="5">
      <totalsRowFormula>SUM(Table6[Sales])</totalsRowFormula>
    </tableColumn>
    <tableColumn id="8" xr3:uid="{2AA9DB81-0CC7-4196-BE36-1E7F839A0650}" name="Quantity" dataDxfId="2" totalsRowDxfId="3"/>
    <tableColumn id="9" xr3:uid="{B51E8BCF-D989-4731-BA69-21C1BE2919FC}" name="Profit" totalsRowFunction="custom" dataDxfId="0" totalsRowDxfId="1">
      <totalsRowFormula>SUM(Table6[Profit])</totalsRow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45C3430-5382-48CC-80EA-B6A3C62C5A87}" sourceName="Order Date">
  <state minimalRefreshVersion="6" lastRefreshVersion="6" pivotCacheId="105242070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34B6B53-4B16-458B-BA00-81C86CD817FA}" cache="NativeTimeline_Order_Date" caption="Order Date" level="2" selectionLevel="2" scrollPosition="2024-04-1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6503-92E9-4D95-B932-7920F07E8C6E}">
  <dimension ref="A1:N52"/>
  <sheetViews>
    <sheetView workbookViewId="0">
      <selection activeCell="K7" sqref="K7"/>
    </sheetView>
  </sheetViews>
  <sheetFormatPr defaultRowHeight="15" x14ac:dyDescent="0.25"/>
  <cols>
    <col min="1" max="1" width="11.7109375" customWidth="1"/>
    <col min="2" max="2" width="17.5703125" customWidth="1"/>
    <col min="3" max="3" width="12.42578125" customWidth="1"/>
    <col min="4" max="4" width="13" customWidth="1"/>
    <col min="5" max="5" width="20.7109375" customWidth="1"/>
    <col min="6" max="6" width="19.42578125" customWidth="1"/>
    <col min="7" max="7" width="12.7109375" customWidth="1"/>
    <col min="8" max="8" width="13.5703125" customWidth="1"/>
    <col min="9" max="9" width="13.85546875" customWidth="1"/>
  </cols>
  <sheetData>
    <row r="1" spans="1:14" x14ac:dyDescent="0.25">
      <c r="A1" s="14" t="s">
        <v>28</v>
      </c>
      <c r="B1" s="13" t="s">
        <v>27</v>
      </c>
      <c r="C1" s="13" t="s">
        <v>26</v>
      </c>
      <c r="D1" s="13" t="s">
        <v>25</v>
      </c>
      <c r="E1" s="13" t="s">
        <v>24</v>
      </c>
      <c r="F1" s="13" t="s">
        <v>23</v>
      </c>
      <c r="G1" s="13" t="s">
        <v>22</v>
      </c>
      <c r="H1" s="13" t="s">
        <v>21</v>
      </c>
      <c r="I1" s="12" t="s">
        <v>20</v>
      </c>
    </row>
    <row r="2" spans="1:14" x14ac:dyDescent="0.25">
      <c r="A2" s="8">
        <v>1</v>
      </c>
      <c r="B2" s="7">
        <v>45296</v>
      </c>
      <c r="C2" s="6">
        <v>2024</v>
      </c>
      <c r="D2" s="6" t="s">
        <v>5</v>
      </c>
      <c r="E2" s="6" t="s">
        <v>4</v>
      </c>
      <c r="F2" s="6" t="s">
        <v>3</v>
      </c>
      <c r="G2" s="6">
        <v>4500</v>
      </c>
      <c r="H2" s="6">
        <v>5</v>
      </c>
      <c r="I2" s="11">
        <v>900</v>
      </c>
    </row>
    <row r="3" spans="1:14" x14ac:dyDescent="0.25">
      <c r="A3" s="8">
        <v>2</v>
      </c>
      <c r="B3" s="7">
        <v>45298</v>
      </c>
      <c r="C3" s="6">
        <v>2024</v>
      </c>
      <c r="D3" s="6" t="s">
        <v>2</v>
      </c>
      <c r="E3" s="6" t="s">
        <v>1</v>
      </c>
      <c r="F3" s="6" t="s">
        <v>0</v>
      </c>
      <c r="G3" s="6">
        <v>12000</v>
      </c>
      <c r="H3" s="6">
        <v>3</v>
      </c>
      <c r="I3" s="11">
        <v>2500</v>
      </c>
    </row>
    <row r="4" spans="1:14" ht="19.5" customHeight="1" x14ac:dyDescent="0.25">
      <c r="A4" s="8">
        <v>3</v>
      </c>
      <c r="B4" s="7">
        <v>45301</v>
      </c>
      <c r="C4" s="6">
        <v>2024</v>
      </c>
      <c r="D4" s="6" t="s">
        <v>10</v>
      </c>
      <c r="E4" s="6" t="s">
        <v>7</v>
      </c>
      <c r="F4" s="6" t="s">
        <v>6</v>
      </c>
      <c r="G4" s="6">
        <v>800</v>
      </c>
      <c r="H4" s="10">
        <v>10</v>
      </c>
      <c r="I4" s="5">
        <v>200</v>
      </c>
    </row>
    <row r="5" spans="1:14" x14ac:dyDescent="0.25">
      <c r="A5" s="8">
        <v>4</v>
      </c>
      <c r="B5" s="7">
        <v>45303</v>
      </c>
      <c r="C5" s="6">
        <v>2024</v>
      </c>
      <c r="D5" s="6" t="s">
        <v>8</v>
      </c>
      <c r="E5" s="6" t="s">
        <v>4</v>
      </c>
      <c r="F5" s="6" t="s">
        <v>17</v>
      </c>
      <c r="G5" s="6">
        <v>9000</v>
      </c>
      <c r="H5" s="6">
        <v>2</v>
      </c>
      <c r="I5" s="5">
        <v>1500</v>
      </c>
      <c r="N5" s="9"/>
    </row>
    <row r="6" spans="1:14" x14ac:dyDescent="0.25">
      <c r="A6" s="8">
        <v>5</v>
      </c>
      <c r="B6" s="7">
        <v>45306</v>
      </c>
      <c r="C6" s="6">
        <v>2024</v>
      </c>
      <c r="D6" s="6" t="s">
        <v>5</v>
      </c>
      <c r="E6" s="6" t="s">
        <v>1</v>
      </c>
      <c r="F6" s="6" t="s">
        <v>16</v>
      </c>
      <c r="G6" s="6">
        <v>45000</v>
      </c>
      <c r="H6" s="6">
        <v>4</v>
      </c>
      <c r="I6" s="5">
        <v>6000</v>
      </c>
      <c r="N6" s="9"/>
    </row>
    <row r="7" spans="1:14" ht="14.25" customHeight="1" x14ac:dyDescent="0.25">
      <c r="A7" s="8">
        <v>6</v>
      </c>
      <c r="B7" s="7">
        <v>45309</v>
      </c>
      <c r="C7" s="6">
        <v>2024</v>
      </c>
      <c r="D7" s="6" t="s">
        <v>2</v>
      </c>
      <c r="E7" s="6" t="s">
        <v>7</v>
      </c>
      <c r="F7" s="6" t="s">
        <v>19</v>
      </c>
      <c r="G7" s="6">
        <v>600</v>
      </c>
      <c r="H7" s="6">
        <v>20</v>
      </c>
      <c r="I7" s="5">
        <v>150</v>
      </c>
    </row>
    <row r="8" spans="1:14" x14ac:dyDescent="0.25">
      <c r="A8" s="8">
        <v>7</v>
      </c>
      <c r="B8" s="7">
        <v>45311</v>
      </c>
      <c r="C8" s="6">
        <v>2024</v>
      </c>
      <c r="D8" s="6" t="s">
        <v>10</v>
      </c>
      <c r="E8" s="6" t="s">
        <v>4</v>
      </c>
      <c r="F8" s="6" t="s">
        <v>14</v>
      </c>
      <c r="G8" s="6">
        <v>7000</v>
      </c>
      <c r="H8" s="6">
        <v>3</v>
      </c>
      <c r="I8" s="5">
        <v>1200</v>
      </c>
    </row>
    <row r="9" spans="1:14" x14ac:dyDescent="0.25">
      <c r="A9" s="8">
        <v>8</v>
      </c>
      <c r="B9" s="7">
        <v>45313</v>
      </c>
      <c r="C9" s="6">
        <v>2024</v>
      </c>
      <c r="D9" s="6" t="s">
        <v>8</v>
      </c>
      <c r="E9" s="6" t="s">
        <v>1</v>
      </c>
      <c r="F9" s="6" t="s">
        <v>13</v>
      </c>
      <c r="G9" s="6">
        <v>2500</v>
      </c>
      <c r="H9" s="6">
        <v>6</v>
      </c>
      <c r="I9" s="5">
        <v>500</v>
      </c>
      <c r="N9" s="9"/>
    </row>
    <row r="10" spans="1:14" ht="18.75" customHeight="1" x14ac:dyDescent="0.25">
      <c r="A10" s="8">
        <v>9</v>
      </c>
      <c r="B10" s="7">
        <v>45316</v>
      </c>
      <c r="C10" s="6">
        <v>2024</v>
      </c>
      <c r="D10" s="6" t="s">
        <v>5</v>
      </c>
      <c r="E10" s="6" t="s">
        <v>7</v>
      </c>
      <c r="F10" s="6" t="s">
        <v>18</v>
      </c>
      <c r="G10" s="6">
        <v>1400</v>
      </c>
      <c r="H10" s="6">
        <v>8</v>
      </c>
      <c r="I10" s="5">
        <v>300</v>
      </c>
    </row>
    <row r="11" spans="1:14" x14ac:dyDescent="0.25">
      <c r="A11" s="8">
        <v>10</v>
      </c>
      <c r="B11" s="7">
        <v>45318</v>
      </c>
      <c r="C11" s="6">
        <v>2024</v>
      </c>
      <c r="D11" s="6" t="s">
        <v>2</v>
      </c>
      <c r="E11" s="6" t="s">
        <v>4</v>
      </c>
      <c r="F11" s="6" t="s">
        <v>11</v>
      </c>
      <c r="G11" s="6">
        <v>30000</v>
      </c>
      <c r="H11" s="6">
        <v>1</v>
      </c>
      <c r="I11" s="5">
        <v>4500</v>
      </c>
    </row>
    <row r="12" spans="1:14" x14ac:dyDescent="0.25">
      <c r="A12" s="8">
        <v>11</v>
      </c>
      <c r="B12" s="7">
        <v>45323</v>
      </c>
      <c r="C12" s="6">
        <v>2024</v>
      </c>
      <c r="D12" s="6" t="s">
        <v>10</v>
      </c>
      <c r="E12" s="6" t="s">
        <v>1</v>
      </c>
      <c r="F12" s="6" t="s">
        <v>9</v>
      </c>
      <c r="G12" s="6">
        <v>18000</v>
      </c>
      <c r="H12" s="6">
        <v>3</v>
      </c>
      <c r="I12" s="5">
        <v>3200</v>
      </c>
    </row>
    <row r="13" spans="1:14" ht="20.25" customHeight="1" x14ac:dyDescent="0.25">
      <c r="A13" s="8">
        <v>12</v>
      </c>
      <c r="B13" s="7">
        <v>45325</v>
      </c>
      <c r="C13" s="6">
        <v>2024</v>
      </c>
      <c r="D13" s="6" t="s">
        <v>8</v>
      </c>
      <c r="E13" s="6" t="s">
        <v>7</v>
      </c>
      <c r="F13" s="6" t="s">
        <v>15</v>
      </c>
      <c r="G13" s="6">
        <v>500</v>
      </c>
      <c r="H13" s="6">
        <v>15</v>
      </c>
      <c r="I13" s="5">
        <v>120</v>
      </c>
    </row>
    <row r="14" spans="1:14" x14ac:dyDescent="0.25">
      <c r="A14" s="8">
        <v>13</v>
      </c>
      <c r="B14" s="7">
        <v>45328</v>
      </c>
      <c r="C14" s="6">
        <v>2024</v>
      </c>
      <c r="D14" s="6" t="s">
        <v>5</v>
      </c>
      <c r="E14" s="6" t="s">
        <v>4</v>
      </c>
      <c r="F14" s="6" t="s">
        <v>3</v>
      </c>
      <c r="G14" s="6">
        <v>5200</v>
      </c>
      <c r="H14" s="6">
        <v>6</v>
      </c>
      <c r="I14" s="5">
        <v>950</v>
      </c>
    </row>
    <row r="15" spans="1:14" x14ac:dyDescent="0.25">
      <c r="A15" s="8">
        <v>14</v>
      </c>
      <c r="B15" s="7">
        <v>45330</v>
      </c>
      <c r="C15" s="6">
        <v>2024</v>
      </c>
      <c r="D15" s="6" t="s">
        <v>2</v>
      </c>
      <c r="E15" s="6" t="s">
        <v>1</v>
      </c>
      <c r="F15" s="6" t="s">
        <v>0</v>
      </c>
      <c r="G15" s="6">
        <v>15000</v>
      </c>
      <c r="H15" s="6">
        <v>4</v>
      </c>
      <c r="I15" s="5">
        <v>2800</v>
      </c>
    </row>
    <row r="16" spans="1:14" ht="21.75" customHeight="1" x14ac:dyDescent="0.25">
      <c r="A16" s="8">
        <v>15</v>
      </c>
      <c r="B16" s="7">
        <v>45332</v>
      </c>
      <c r="C16" s="6">
        <v>2024</v>
      </c>
      <c r="D16" s="6" t="s">
        <v>10</v>
      </c>
      <c r="E16" s="6" t="s">
        <v>7</v>
      </c>
      <c r="F16" s="6" t="s">
        <v>12</v>
      </c>
      <c r="G16" s="6">
        <v>750</v>
      </c>
      <c r="H16" s="6">
        <v>12</v>
      </c>
      <c r="I16" s="5">
        <v>180</v>
      </c>
    </row>
    <row r="17" spans="1:9" x14ac:dyDescent="0.25">
      <c r="A17" s="8">
        <v>16</v>
      </c>
      <c r="B17" s="7">
        <v>45335</v>
      </c>
      <c r="C17" s="6">
        <v>2024</v>
      </c>
      <c r="D17" s="6" t="s">
        <v>8</v>
      </c>
      <c r="E17" s="6" t="s">
        <v>4</v>
      </c>
      <c r="F17" s="6" t="s">
        <v>17</v>
      </c>
      <c r="G17" s="6">
        <v>11000</v>
      </c>
      <c r="H17" s="6">
        <v>3</v>
      </c>
      <c r="I17" s="5">
        <v>1700</v>
      </c>
    </row>
    <row r="18" spans="1:9" x14ac:dyDescent="0.25">
      <c r="A18" s="8">
        <v>17</v>
      </c>
      <c r="B18" s="7">
        <v>45337</v>
      </c>
      <c r="C18" s="6">
        <v>2024</v>
      </c>
      <c r="D18" s="6" t="s">
        <v>5</v>
      </c>
      <c r="E18" s="6" t="s">
        <v>1</v>
      </c>
      <c r="F18" s="6" t="s">
        <v>16</v>
      </c>
      <c r="G18" s="6">
        <v>60000</v>
      </c>
      <c r="H18" s="6">
        <v>5</v>
      </c>
      <c r="I18" s="5">
        <v>8500</v>
      </c>
    </row>
    <row r="19" spans="1:9" ht="21.75" customHeight="1" x14ac:dyDescent="0.25">
      <c r="A19" s="8">
        <v>18</v>
      </c>
      <c r="B19" s="7">
        <v>45340</v>
      </c>
      <c r="C19" s="6">
        <v>2024</v>
      </c>
      <c r="D19" s="6" t="s">
        <v>2</v>
      </c>
      <c r="E19" s="6" t="s">
        <v>7</v>
      </c>
      <c r="F19" s="6" t="s">
        <v>6</v>
      </c>
      <c r="G19" s="6">
        <v>900</v>
      </c>
      <c r="H19" s="6">
        <v>11</v>
      </c>
      <c r="I19" s="5">
        <v>220</v>
      </c>
    </row>
    <row r="20" spans="1:9" x14ac:dyDescent="0.25">
      <c r="A20" s="8">
        <v>19</v>
      </c>
      <c r="B20" s="7">
        <v>45342</v>
      </c>
      <c r="C20" s="6">
        <v>2024</v>
      </c>
      <c r="D20" s="6" t="s">
        <v>10</v>
      </c>
      <c r="E20" s="6" t="s">
        <v>4</v>
      </c>
      <c r="F20" s="6" t="s">
        <v>14</v>
      </c>
      <c r="G20" s="6">
        <v>8200</v>
      </c>
      <c r="H20" s="6">
        <v>4</v>
      </c>
      <c r="I20" s="5">
        <v>1400</v>
      </c>
    </row>
    <row r="21" spans="1:9" x14ac:dyDescent="0.25">
      <c r="A21" s="8">
        <v>20</v>
      </c>
      <c r="B21" s="7">
        <v>45344</v>
      </c>
      <c r="C21" s="6">
        <v>2024</v>
      </c>
      <c r="D21" s="6" t="s">
        <v>8</v>
      </c>
      <c r="E21" s="6" t="s">
        <v>1</v>
      </c>
      <c r="F21" s="6" t="s">
        <v>13</v>
      </c>
      <c r="G21" s="6">
        <v>3100</v>
      </c>
      <c r="H21" s="6">
        <v>7</v>
      </c>
      <c r="I21" s="5">
        <v>650</v>
      </c>
    </row>
    <row r="22" spans="1:9" x14ac:dyDescent="0.25">
      <c r="A22" s="8">
        <v>21</v>
      </c>
      <c r="B22" s="7">
        <v>45347</v>
      </c>
      <c r="C22" s="6">
        <v>2024</v>
      </c>
      <c r="D22" s="6" t="s">
        <v>5</v>
      </c>
      <c r="E22" s="6" t="s">
        <v>7</v>
      </c>
      <c r="F22" s="6" t="s">
        <v>18</v>
      </c>
      <c r="G22" s="6">
        <v>1600</v>
      </c>
      <c r="H22" s="6">
        <v>9</v>
      </c>
      <c r="I22" s="5">
        <v>350</v>
      </c>
    </row>
    <row r="23" spans="1:9" x14ac:dyDescent="0.25">
      <c r="A23" s="8">
        <v>22</v>
      </c>
      <c r="B23" s="7">
        <v>45349</v>
      </c>
      <c r="C23" s="6">
        <v>2024</v>
      </c>
      <c r="D23" s="6" t="s">
        <v>2</v>
      </c>
      <c r="E23" s="6" t="s">
        <v>4</v>
      </c>
      <c r="F23" s="6" t="s">
        <v>11</v>
      </c>
      <c r="G23" s="6">
        <v>28000</v>
      </c>
      <c r="H23" s="6">
        <v>2</v>
      </c>
      <c r="I23" s="5">
        <v>4200</v>
      </c>
    </row>
    <row r="24" spans="1:9" x14ac:dyDescent="0.25">
      <c r="A24" s="8">
        <v>23</v>
      </c>
      <c r="B24" s="7">
        <v>45352</v>
      </c>
      <c r="C24" s="6">
        <v>2024</v>
      </c>
      <c r="D24" s="6" t="s">
        <v>10</v>
      </c>
      <c r="E24" s="6" t="s">
        <v>1</v>
      </c>
      <c r="F24" s="6" t="s">
        <v>9</v>
      </c>
      <c r="G24" s="6">
        <v>20000</v>
      </c>
      <c r="H24" s="6">
        <v>4</v>
      </c>
      <c r="I24" s="5">
        <v>3600</v>
      </c>
    </row>
    <row r="25" spans="1:9" x14ac:dyDescent="0.25">
      <c r="A25" s="8">
        <v>24</v>
      </c>
      <c r="B25" s="7">
        <v>45354</v>
      </c>
      <c r="C25" s="6">
        <v>2024</v>
      </c>
      <c r="D25" s="6" t="s">
        <v>8</v>
      </c>
      <c r="E25" s="6" t="s">
        <v>7</v>
      </c>
      <c r="F25" s="6" t="s">
        <v>19</v>
      </c>
      <c r="G25" s="6">
        <v>700</v>
      </c>
      <c r="H25" s="6">
        <v>18</v>
      </c>
      <c r="I25" s="5">
        <v>170</v>
      </c>
    </row>
    <row r="26" spans="1:9" x14ac:dyDescent="0.25">
      <c r="A26" s="8">
        <v>25</v>
      </c>
      <c r="B26" s="7">
        <v>45357</v>
      </c>
      <c r="C26" s="6">
        <v>2024</v>
      </c>
      <c r="D26" s="6" t="s">
        <v>5</v>
      </c>
      <c r="E26" s="6" t="s">
        <v>4</v>
      </c>
      <c r="F26" s="6" t="s">
        <v>3</v>
      </c>
      <c r="G26" s="6">
        <v>4800</v>
      </c>
      <c r="H26" s="6">
        <v>5</v>
      </c>
      <c r="I26" s="5">
        <v>880</v>
      </c>
    </row>
    <row r="27" spans="1:9" x14ac:dyDescent="0.25">
      <c r="A27" s="8">
        <v>26</v>
      </c>
      <c r="B27" s="7">
        <v>45359</v>
      </c>
      <c r="C27" s="6">
        <v>2024</v>
      </c>
      <c r="D27" s="6" t="s">
        <v>2</v>
      </c>
      <c r="E27" s="6" t="s">
        <v>1</v>
      </c>
      <c r="F27" s="6" t="s">
        <v>0</v>
      </c>
      <c r="G27" s="6">
        <v>13500</v>
      </c>
      <c r="H27" s="6">
        <v>3</v>
      </c>
      <c r="I27" s="5">
        <v>2600</v>
      </c>
    </row>
    <row r="28" spans="1:9" ht="19.5" customHeight="1" x14ac:dyDescent="0.25">
      <c r="A28" s="8">
        <v>27</v>
      </c>
      <c r="B28" s="7">
        <v>45361</v>
      </c>
      <c r="C28" s="6">
        <v>2024</v>
      </c>
      <c r="D28" s="6" t="s">
        <v>10</v>
      </c>
      <c r="E28" s="6" t="s">
        <v>7</v>
      </c>
      <c r="F28" s="6" t="s">
        <v>15</v>
      </c>
      <c r="G28" s="6">
        <v>620</v>
      </c>
      <c r="H28" s="6">
        <v>14</v>
      </c>
      <c r="I28" s="5">
        <v>140</v>
      </c>
    </row>
    <row r="29" spans="1:9" x14ac:dyDescent="0.25">
      <c r="A29" s="8">
        <v>28</v>
      </c>
      <c r="B29" s="7">
        <v>45364</v>
      </c>
      <c r="C29" s="6">
        <v>2024</v>
      </c>
      <c r="D29" s="6" t="s">
        <v>8</v>
      </c>
      <c r="E29" s="6" t="s">
        <v>4</v>
      </c>
      <c r="F29" s="6" t="s">
        <v>17</v>
      </c>
      <c r="G29" s="6">
        <v>9800</v>
      </c>
      <c r="H29" s="6">
        <v>2</v>
      </c>
      <c r="I29" s="5">
        <v>1600</v>
      </c>
    </row>
    <row r="30" spans="1:9" x14ac:dyDescent="0.25">
      <c r="A30" s="8">
        <v>29</v>
      </c>
      <c r="B30" s="7">
        <v>45366</v>
      </c>
      <c r="C30" s="6">
        <v>2024</v>
      </c>
      <c r="D30" s="6" t="s">
        <v>5</v>
      </c>
      <c r="E30" s="6" t="s">
        <v>1</v>
      </c>
      <c r="F30" s="6" t="s">
        <v>16</v>
      </c>
      <c r="G30" s="6">
        <v>52000</v>
      </c>
      <c r="H30" s="6">
        <v>4</v>
      </c>
      <c r="I30" s="5">
        <v>7200</v>
      </c>
    </row>
    <row r="31" spans="1:9" x14ac:dyDescent="0.25">
      <c r="A31" s="8">
        <v>30</v>
      </c>
      <c r="B31" s="7">
        <v>45369</v>
      </c>
      <c r="C31" s="6">
        <v>2024</v>
      </c>
      <c r="D31" s="6" t="s">
        <v>2</v>
      </c>
      <c r="E31" s="6" t="s">
        <v>7</v>
      </c>
      <c r="F31" s="6" t="s">
        <v>12</v>
      </c>
      <c r="G31" s="6">
        <v>850</v>
      </c>
      <c r="H31" s="6">
        <v>13</v>
      </c>
      <c r="I31" s="5">
        <v>210</v>
      </c>
    </row>
    <row r="32" spans="1:9" x14ac:dyDescent="0.25">
      <c r="A32" s="8">
        <v>31</v>
      </c>
      <c r="B32" s="7">
        <v>45371</v>
      </c>
      <c r="C32" s="6">
        <v>2024</v>
      </c>
      <c r="D32" s="6" t="s">
        <v>10</v>
      </c>
      <c r="E32" s="6" t="s">
        <v>4</v>
      </c>
      <c r="F32" s="6" t="s">
        <v>14</v>
      </c>
      <c r="G32" s="6">
        <v>7600</v>
      </c>
      <c r="H32" s="6">
        <v>3</v>
      </c>
      <c r="I32" s="5">
        <v>1300</v>
      </c>
    </row>
    <row r="33" spans="1:9" x14ac:dyDescent="0.25">
      <c r="A33" s="8">
        <v>32</v>
      </c>
      <c r="B33" s="7">
        <v>45373</v>
      </c>
      <c r="C33" s="6">
        <v>2024</v>
      </c>
      <c r="D33" s="6" t="s">
        <v>8</v>
      </c>
      <c r="E33" s="6" t="s">
        <v>1</v>
      </c>
      <c r="F33" s="6" t="s">
        <v>13</v>
      </c>
      <c r="G33" s="6">
        <v>2900</v>
      </c>
      <c r="H33" s="6">
        <v>6</v>
      </c>
      <c r="I33" s="5">
        <v>600</v>
      </c>
    </row>
    <row r="34" spans="1:9" x14ac:dyDescent="0.25">
      <c r="A34" s="8">
        <v>33</v>
      </c>
      <c r="B34" s="7">
        <v>45376</v>
      </c>
      <c r="C34" s="6">
        <v>2024</v>
      </c>
      <c r="D34" s="6" t="s">
        <v>5</v>
      </c>
      <c r="E34" s="6" t="s">
        <v>7</v>
      </c>
      <c r="F34" s="6" t="s">
        <v>6</v>
      </c>
      <c r="G34" s="6">
        <v>950</v>
      </c>
      <c r="H34" s="6">
        <v>12</v>
      </c>
      <c r="I34" s="5">
        <v>240</v>
      </c>
    </row>
    <row r="35" spans="1:9" x14ac:dyDescent="0.25">
      <c r="A35" s="8">
        <v>34</v>
      </c>
      <c r="B35" s="7">
        <v>45378</v>
      </c>
      <c r="C35" s="6">
        <v>2024</v>
      </c>
      <c r="D35" s="6" t="s">
        <v>2</v>
      </c>
      <c r="E35" s="6" t="s">
        <v>4</v>
      </c>
      <c r="F35" s="6" t="s">
        <v>11</v>
      </c>
      <c r="G35" s="6">
        <v>32000</v>
      </c>
      <c r="H35" s="6">
        <v>2</v>
      </c>
      <c r="I35" s="5">
        <v>4800</v>
      </c>
    </row>
    <row r="36" spans="1:9" x14ac:dyDescent="0.25">
      <c r="A36" s="8">
        <v>35</v>
      </c>
      <c r="B36" s="7">
        <v>45383</v>
      </c>
      <c r="C36" s="6">
        <v>2024</v>
      </c>
      <c r="D36" s="6" t="s">
        <v>10</v>
      </c>
      <c r="E36" s="6" t="s">
        <v>1</v>
      </c>
      <c r="F36" s="6" t="s">
        <v>9</v>
      </c>
      <c r="G36" s="6">
        <v>22000</v>
      </c>
      <c r="H36" s="6">
        <v>4</v>
      </c>
      <c r="I36" s="5">
        <v>3900</v>
      </c>
    </row>
    <row r="37" spans="1:9" x14ac:dyDescent="0.25">
      <c r="A37" s="8">
        <v>36</v>
      </c>
      <c r="B37" s="7">
        <v>45385</v>
      </c>
      <c r="C37" s="6">
        <v>2024</v>
      </c>
      <c r="D37" s="6" t="s">
        <v>8</v>
      </c>
      <c r="E37" s="6" t="s">
        <v>7</v>
      </c>
      <c r="F37" s="6" t="s">
        <v>19</v>
      </c>
      <c r="G37" s="6">
        <v>650</v>
      </c>
      <c r="H37" s="6">
        <v>16</v>
      </c>
      <c r="I37" s="5">
        <v>160</v>
      </c>
    </row>
    <row r="38" spans="1:9" x14ac:dyDescent="0.25">
      <c r="A38" s="8">
        <v>37</v>
      </c>
      <c r="B38" s="7">
        <v>45388</v>
      </c>
      <c r="C38" s="6">
        <v>2024</v>
      </c>
      <c r="D38" s="6" t="s">
        <v>5</v>
      </c>
      <c r="E38" s="6" t="s">
        <v>4</v>
      </c>
      <c r="F38" s="6" t="s">
        <v>3</v>
      </c>
      <c r="G38" s="6">
        <v>5100</v>
      </c>
      <c r="H38" s="6">
        <v>6</v>
      </c>
      <c r="I38" s="5">
        <v>920</v>
      </c>
    </row>
    <row r="39" spans="1:9" x14ac:dyDescent="0.25">
      <c r="A39" s="8">
        <v>38</v>
      </c>
      <c r="B39" s="7">
        <v>45390</v>
      </c>
      <c r="C39" s="6">
        <v>2024</v>
      </c>
      <c r="D39" s="6" t="s">
        <v>2</v>
      </c>
      <c r="E39" s="6" t="s">
        <v>1</v>
      </c>
      <c r="F39" s="6" t="s">
        <v>0</v>
      </c>
      <c r="G39" s="6">
        <v>14500</v>
      </c>
      <c r="H39" s="6">
        <v>3</v>
      </c>
      <c r="I39" s="5">
        <v>2700</v>
      </c>
    </row>
    <row r="40" spans="1:9" x14ac:dyDescent="0.25">
      <c r="A40" s="8">
        <v>39</v>
      </c>
      <c r="B40" s="7">
        <v>45392</v>
      </c>
      <c r="C40" s="6">
        <v>2024</v>
      </c>
      <c r="D40" s="6" t="s">
        <v>10</v>
      </c>
      <c r="E40" s="6" t="s">
        <v>7</v>
      </c>
      <c r="F40" s="6" t="s">
        <v>18</v>
      </c>
      <c r="G40" s="6">
        <v>1700</v>
      </c>
      <c r="H40" s="6">
        <v>10</v>
      </c>
      <c r="I40" s="5">
        <v>380</v>
      </c>
    </row>
    <row r="41" spans="1:9" x14ac:dyDescent="0.25">
      <c r="A41" s="8">
        <v>40</v>
      </c>
      <c r="B41" s="7">
        <v>45395</v>
      </c>
      <c r="C41" s="6">
        <v>2024</v>
      </c>
      <c r="D41" s="6" t="s">
        <v>8</v>
      </c>
      <c r="E41" s="6" t="s">
        <v>4</v>
      </c>
      <c r="F41" s="6" t="s">
        <v>17</v>
      </c>
      <c r="G41" s="6">
        <v>10500</v>
      </c>
      <c r="H41" s="6">
        <v>3</v>
      </c>
      <c r="I41" s="5">
        <v>1650</v>
      </c>
    </row>
    <row r="42" spans="1:9" x14ac:dyDescent="0.25">
      <c r="A42" s="8">
        <v>41</v>
      </c>
      <c r="B42" s="7">
        <v>45397</v>
      </c>
      <c r="C42" s="6">
        <v>2024</v>
      </c>
      <c r="D42" s="6" t="s">
        <v>5</v>
      </c>
      <c r="E42" s="6" t="s">
        <v>1</v>
      </c>
      <c r="F42" s="6" t="s">
        <v>16</v>
      </c>
      <c r="G42" s="6">
        <v>58000</v>
      </c>
      <c r="H42" s="6">
        <v>5</v>
      </c>
      <c r="I42" s="5">
        <v>8100</v>
      </c>
    </row>
    <row r="43" spans="1:9" x14ac:dyDescent="0.25">
      <c r="A43" s="8">
        <v>42</v>
      </c>
      <c r="B43" s="7">
        <v>45400</v>
      </c>
      <c r="C43" s="6">
        <v>2024</v>
      </c>
      <c r="D43" s="6" t="s">
        <v>2</v>
      </c>
      <c r="E43" s="6" t="s">
        <v>7</v>
      </c>
      <c r="F43" s="6" t="s">
        <v>15</v>
      </c>
      <c r="G43" s="6">
        <v>700</v>
      </c>
      <c r="H43" s="6">
        <v>15</v>
      </c>
      <c r="I43" s="5">
        <v>160</v>
      </c>
    </row>
    <row r="44" spans="1:9" x14ac:dyDescent="0.25">
      <c r="A44" s="8">
        <v>43</v>
      </c>
      <c r="B44" s="7">
        <v>45402</v>
      </c>
      <c r="C44" s="6">
        <v>2024</v>
      </c>
      <c r="D44" s="6" t="s">
        <v>10</v>
      </c>
      <c r="E44" s="6" t="s">
        <v>4</v>
      </c>
      <c r="F44" s="6" t="s">
        <v>14</v>
      </c>
      <c r="G44" s="6">
        <v>8000</v>
      </c>
      <c r="H44" s="6">
        <v>4</v>
      </c>
      <c r="I44" s="5">
        <v>1350</v>
      </c>
    </row>
    <row r="45" spans="1:9" x14ac:dyDescent="0.25">
      <c r="A45" s="8">
        <v>44</v>
      </c>
      <c r="B45" s="7">
        <v>45404</v>
      </c>
      <c r="C45" s="6">
        <v>2024</v>
      </c>
      <c r="D45" s="6" t="s">
        <v>8</v>
      </c>
      <c r="E45" s="6" t="s">
        <v>1</v>
      </c>
      <c r="F45" s="6" t="s">
        <v>13</v>
      </c>
      <c r="G45" s="6">
        <v>3300</v>
      </c>
      <c r="H45" s="6">
        <v>7</v>
      </c>
      <c r="I45" s="5">
        <v>700</v>
      </c>
    </row>
    <row r="46" spans="1:9" x14ac:dyDescent="0.25">
      <c r="A46" s="8">
        <v>45</v>
      </c>
      <c r="B46" s="7">
        <v>45407</v>
      </c>
      <c r="C46" s="6">
        <v>2024</v>
      </c>
      <c r="D46" s="6" t="s">
        <v>5</v>
      </c>
      <c r="E46" s="6" t="s">
        <v>7</v>
      </c>
      <c r="F46" s="6" t="s">
        <v>12</v>
      </c>
      <c r="G46" s="6">
        <v>900</v>
      </c>
      <c r="H46" s="6">
        <v>14</v>
      </c>
      <c r="I46" s="5">
        <v>230</v>
      </c>
    </row>
    <row r="47" spans="1:9" x14ac:dyDescent="0.25">
      <c r="A47" s="8">
        <v>46</v>
      </c>
      <c r="B47" s="7">
        <v>45409</v>
      </c>
      <c r="C47" s="6">
        <v>2024</v>
      </c>
      <c r="D47" s="6" t="s">
        <v>2</v>
      </c>
      <c r="E47" s="6" t="s">
        <v>4</v>
      </c>
      <c r="F47" s="6" t="s">
        <v>11</v>
      </c>
      <c r="G47" s="6">
        <v>35000</v>
      </c>
      <c r="H47" s="6">
        <v>2</v>
      </c>
      <c r="I47" s="5">
        <v>5200</v>
      </c>
    </row>
    <row r="48" spans="1:9" x14ac:dyDescent="0.25">
      <c r="A48" s="8">
        <v>47</v>
      </c>
      <c r="B48" s="7">
        <v>45413</v>
      </c>
      <c r="C48" s="6">
        <v>2024</v>
      </c>
      <c r="D48" s="6" t="s">
        <v>10</v>
      </c>
      <c r="E48" s="6" t="s">
        <v>1</v>
      </c>
      <c r="F48" s="6" t="s">
        <v>9</v>
      </c>
      <c r="G48" s="6">
        <v>24000</v>
      </c>
      <c r="H48" s="6">
        <v>5</v>
      </c>
      <c r="I48" s="5">
        <v>4200</v>
      </c>
    </row>
    <row r="49" spans="1:9" x14ac:dyDescent="0.25">
      <c r="A49" s="8">
        <v>48</v>
      </c>
      <c r="B49" s="7">
        <v>45415</v>
      </c>
      <c r="C49" s="6">
        <v>2024</v>
      </c>
      <c r="D49" s="6" t="s">
        <v>8</v>
      </c>
      <c r="E49" s="6" t="s">
        <v>7</v>
      </c>
      <c r="F49" s="6" t="s">
        <v>6</v>
      </c>
      <c r="G49" s="6">
        <v>1000</v>
      </c>
      <c r="H49" s="6">
        <v>13</v>
      </c>
      <c r="I49" s="5">
        <v>260</v>
      </c>
    </row>
    <row r="50" spans="1:9" x14ac:dyDescent="0.25">
      <c r="A50" s="8">
        <v>49</v>
      </c>
      <c r="B50" s="7">
        <v>45418</v>
      </c>
      <c r="C50" s="6">
        <v>2024</v>
      </c>
      <c r="D50" s="6" t="s">
        <v>5</v>
      </c>
      <c r="E50" s="6" t="s">
        <v>4</v>
      </c>
      <c r="F50" s="6" t="s">
        <v>3</v>
      </c>
      <c r="G50" s="6">
        <v>5300</v>
      </c>
      <c r="H50" s="6">
        <v>6</v>
      </c>
      <c r="I50" s="5">
        <v>970</v>
      </c>
    </row>
    <row r="51" spans="1:9" x14ac:dyDescent="0.25">
      <c r="A51" s="4">
        <v>50</v>
      </c>
      <c r="B51" s="3">
        <v>45420</v>
      </c>
      <c r="C51" s="2">
        <v>2024</v>
      </c>
      <c r="D51" s="2" t="s">
        <v>2</v>
      </c>
      <c r="E51" s="2" t="s">
        <v>1</v>
      </c>
      <c r="F51" s="2" t="s">
        <v>0</v>
      </c>
      <c r="G51" s="2">
        <v>16000</v>
      </c>
      <c r="H51" s="2">
        <v>4</v>
      </c>
      <c r="I51" s="1">
        <v>3000</v>
      </c>
    </row>
    <row r="52" spans="1:9" x14ac:dyDescent="0.25">
      <c r="A52" s="4"/>
      <c r="B52" s="3"/>
      <c r="C52" s="2"/>
      <c r="D52" s="2"/>
      <c r="E52" s="2"/>
      <c r="F52" s="2"/>
      <c r="G52" s="2">
        <f>SUM(Table6[Sales])</f>
        <v>617420</v>
      </c>
      <c r="H52" s="2"/>
      <c r="I52" s="1">
        <f>SUM(Table6[Profit])</f>
        <v>99240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A981-30D3-45DC-99C7-BF48034EB6CA}">
  <dimension ref="A1:K17"/>
  <sheetViews>
    <sheetView workbookViewId="0">
      <selection activeCell="B4" sqref="B4"/>
    </sheetView>
  </sheetViews>
  <sheetFormatPr defaultRowHeight="15" x14ac:dyDescent="0.25"/>
  <cols>
    <col min="1" max="1" width="13.140625" bestFit="1" customWidth="1"/>
    <col min="2" max="2" width="11.5703125" bestFit="1" customWidth="1"/>
    <col min="4" max="4" width="13.140625" bestFit="1" customWidth="1"/>
    <col min="5" max="5" width="12.140625" bestFit="1" customWidth="1"/>
    <col min="6" max="6" width="7.7109375" bestFit="1" customWidth="1"/>
    <col min="7" max="7" width="13.140625" bestFit="1" customWidth="1"/>
    <col min="8" max="8" width="12.140625" bestFit="1" customWidth="1"/>
    <col min="9" max="9" width="10.140625" bestFit="1" customWidth="1"/>
    <col min="10" max="10" width="14.5703125" bestFit="1" customWidth="1"/>
    <col min="11" max="11" width="12.140625" bestFit="1" customWidth="1"/>
    <col min="12" max="12" width="10.85546875" customWidth="1"/>
    <col min="13" max="13" width="5.28515625" bestFit="1" customWidth="1"/>
    <col min="14" max="14" width="7.5703125" bestFit="1" customWidth="1"/>
    <col min="15" max="15" width="7" bestFit="1" customWidth="1"/>
    <col min="16" max="16" width="6.7109375" bestFit="1" customWidth="1"/>
    <col min="17" max="17" width="7.42578125" bestFit="1" customWidth="1"/>
    <col min="18" max="18" width="11.28515625" bestFit="1" customWidth="1"/>
  </cols>
  <sheetData>
    <row r="1" spans="1:11" x14ac:dyDescent="0.25">
      <c r="A1" s="19" t="s">
        <v>36</v>
      </c>
      <c r="B1" s="19"/>
      <c r="C1" s="20"/>
      <c r="D1" s="19" t="s">
        <v>35</v>
      </c>
      <c r="E1" s="19"/>
      <c r="F1" s="20"/>
      <c r="G1" s="19" t="s">
        <v>34</v>
      </c>
      <c r="H1" s="19"/>
      <c r="I1" s="20"/>
      <c r="J1" s="19" t="s">
        <v>33</v>
      </c>
      <c r="K1" s="19"/>
    </row>
    <row r="3" spans="1:11" x14ac:dyDescent="0.25">
      <c r="A3" s="18" t="s">
        <v>31</v>
      </c>
      <c r="B3" t="s">
        <v>32</v>
      </c>
      <c r="D3" s="18" t="s">
        <v>31</v>
      </c>
      <c r="E3" t="s">
        <v>30</v>
      </c>
      <c r="G3" s="18" t="s">
        <v>31</v>
      </c>
      <c r="H3" t="s">
        <v>30</v>
      </c>
      <c r="J3" s="18" t="s">
        <v>31</v>
      </c>
      <c r="K3" t="s">
        <v>30</v>
      </c>
    </row>
    <row r="4" spans="1:11" x14ac:dyDescent="0.25">
      <c r="A4" s="17" t="s">
        <v>5</v>
      </c>
      <c r="B4" s="16">
        <v>26312</v>
      </c>
      <c r="D4" s="17" t="s">
        <v>13</v>
      </c>
      <c r="E4" s="16">
        <v>11800</v>
      </c>
      <c r="G4" s="17" t="s">
        <v>5</v>
      </c>
      <c r="H4" s="16">
        <v>244750</v>
      </c>
      <c r="J4" s="17" t="s">
        <v>4</v>
      </c>
      <c r="K4" s="16">
        <v>221000</v>
      </c>
    </row>
    <row r="5" spans="1:11" x14ac:dyDescent="0.25">
      <c r="A5" s="17" t="s">
        <v>8</v>
      </c>
      <c r="B5" s="16">
        <v>24288</v>
      </c>
      <c r="D5" s="17" t="s">
        <v>18</v>
      </c>
      <c r="E5" s="16">
        <v>4700</v>
      </c>
      <c r="G5" s="17" t="s">
        <v>8</v>
      </c>
      <c r="H5" s="16">
        <v>54950</v>
      </c>
      <c r="J5" s="17" t="s">
        <v>7</v>
      </c>
      <c r="K5" s="16">
        <v>14620</v>
      </c>
    </row>
    <row r="6" spans="1:11" x14ac:dyDescent="0.25">
      <c r="A6" s="17" t="s">
        <v>10</v>
      </c>
      <c r="B6" s="16">
        <v>24288</v>
      </c>
      <c r="D6" s="17" t="s">
        <v>14</v>
      </c>
      <c r="E6" s="16">
        <v>30800</v>
      </c>
      <c r="G6" s="17" t="s">
        <v>10</v>
      </c>
      <c r="H6" s="16">
        <v>118670</v>
      </c>
      <c r="J6" s="17" t="s">
        <v>1</v>
      </c>
      <c r="K6" s="16">
        <v>381800</v>
      </c>
    </row>
    <row r="7" spans="1:11" x14ac:dyDescent="0.25">
      <c r="A7" s="17" t="s">
        <v>2</v>
      </c>
      <c r="B7" s="16">
        <v>26312</v>
      </c>
      <c r="D7" s="17" t="s">
        <v>3</v>
      </c>
      <c r="E7" s="16">
        <v>24900</v>
      </c>
      <c r="G7" s="17" t="s">
        <v>2</v>
      </c>
      <c r="H7" s="16">
        <v>199050</v>
      </c>
      <c r="J7" s="17" t="s">
        <v>29</v>
      </c>
      <c r="K7" s="16">
        <v>617420</v>
      </c>
    </row>
    <row r="8" spans="1:11" x14ac:dyDescent="0.25">
      <c r="A8" s="17" t="s">
        <v>29</v>
      </c>
      <c r="B8" s="16">
        <v>101200</v>
      </c>
      <c r="D8" s="17" t="s">
        <v>15</v>
      </c>
      <c r="E8" s="16">
        <v>1820</v>
      </c>
      <c r="G8" s="17" t="s">
        <v>29</v>
      </c>
      <c r="H8" s="16">
        <v>617420</v>
      </c>
    </row>
    <row r="9" spans="1:11" x14ac:dyDescent="0.25">
      <c r="D9" s="17" t="s">
        <v>12</v>
      </c>
      <c r="E9" s="16">
        <v>2500</v>
      </c>
    </row>
    <row r="10" spans="1:11" x14ac:dyDescent="0.25">
      <c r="D10" s="17" t="s">
        <v>16</v>
      </c>
      <c r="E10" s="16">
        <v>215000</v>
      </c>
    </row>
    <row r="11" spans="1:11" x14ac:dyDescent="0.25">
      <c r="D11" s="17" t="s">
        <v>6</v>
      </c>
      <c r="E11" s="16">
        <v>3650</v>
      </c>
    </row>
    <row r="12" spans="1:11" x14ac:dyDescent="0.25">
      <c r="D12" s="17" t="s">
        <v>19</v>
      </c>
      <c r="E12" s="16">
        <v>1950</v>
      </c>
    </row>
    <row r="13" spans="1:11" x14ac:dyDescent="0.25">
      <c r="D13" s="17" t="s">
        <v>0</v>
      </c>
      <c r="E13" s="16">
        <v>71000</v>
      </c>
    </row>
    <row r="14" spans="1:11" x14ac:dyDescent="0.25">
      <c r="D14" s="17" t="s">
        <v>11</v>
      </c>
      <c r="E14" s="16">
        <v>125000</v>
      </c>
    </row>
    <row r="15" spans="1:11" x14ac:dyDescent="0.25">
      <c r="D15" s="17" t="s">
        <v>17</v>
      </c>
      <c r="E15" s="16">
        <v>40300</v>
      </c>
    </row>
    <row r="16" spans="1:11" x14ac:dyDescent="0.25">
      <c r="D16" s="17" t="s">
        <v>9</v>
      </c>
      <c r="E16" s="16">
        <v>84000</v>
      </c>
    </row>
    <row r="17" spans="4:5" x14ac:dyDescent="0.25">
      <c r="D17" s="17" t="s">
        <v>29</v>
      </c>
      <c r="E17" s="16">
        <v>617420</v>
      </c>
    </row>
  </sheetData>
  <mergeCells count="4">
    <mergeCell ref="A1:B1"/>
    <mergeCell ref="D1:E1"/>
    <mergeCell ref="G1:H1"/>
    <mergeCell ref="J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66BC-CC39-4BE9-96B7-889835607A98}">
  <dimension ref="K2:S7"/>
  <sheetViews>
    <sheetView tabSelected="1" zoomScale="80" zoomScaleNormal="80" workbookViewId="0">
      <selection activeCell="P10" sqref="P10"/>
    </sheetView>
  </sheetViews>
  <sheetFormatPr defaultRowHeight="15" x14ac:dyDescent="0.25"/>
  <cols>
    <col min="12" max="12" width="16" bestFit="1" customWidth="1"/>
    <col min="22" max="22" width="8.42578125" customWidth="1"/>
  </cols>
  <sheetData>
    <row r="2" spans="11:19" x14ac:dyDescent="0.25">
      <c r="K2" s="23" t="s">
        <v>39</v>
      </c>
      <c r="L2" s="15"/>
    </row>
    <row r="3" spans="11:19" ht="15.75" x14ac:dyDescent="0.25">
      <c r="K3" s="22"/>
      <c r="L3" s="24">
        <f>Table6[[#Totals],[Sales]]</f>
        <v>617420</v>
      </c>
    </row>
    <row r="6" spans="11:19" x14ac:dyDescent="0.25">
      <c r="K6" s="23" t="s">
        <v>38</v>
      </c>
      <c r="L6" s="15"/>
    </row>
    <row r="7" spans="11:19" ht="18.75" x14ac:dyDescent="0.3">
      <c r="K7" s="22"/>
      <c r="L7" s="21">
        <f>Table6[[#Totals],[Profit]]</f>
        <v>99240</v>
      </c>
      <c r="S7" t="s">
        <v>37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1</vt:lpstr>
      <vt:lpstr>Data Calculation</vt:lpstr>
      <vt:lpstr>Dynamic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2026-03-05T16:20:46Z</dcterms:created>
  <dcterms:modified xsi:type="dcterms:W3CDTF">2026-03-05T16:21:43Z</dcterms:modified>
</cp:coreProperties>
</file>